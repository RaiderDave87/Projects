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/>
  <workbookPr/>
  <mc:AlternateContent xmlns:mc="http://schemas.openxmlformats.org/markup-compatibility/2006">
    <mc:Choice Requires="x15">
      <x15ac:absPath xmlns:x15ac="http://schemas.microsoft.com/office/spreadsheetml/2010/11/ac" url="/Users/tdgsoundtracks/Desktop/Team-6/"/>
    </mc:Choice>
  </mc:AlternateContent>
  <bookViews>
    <workbookView xWindow="400" yWindow="460" windowWidth="28160" windowHeight="15920" tabRatio="500"/>
  </bookViews>
  <sheets>
    <sheet name="marvel_df2.csv" sheetId="1" r:id="rId1"/>
    <sheet name="Top 5" sheetId="2" r:id="rId2"/>
    <sheet name="Budget Summary" sheetId="3" r:id="rId3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7" i="2" l="1"/>
  <c r="AK7" i="2"/>
  <c r="AJ4" i="2"/>
  <c r="AK4" i="2"/>
  <c r="AJ8" i="2"/>
  <c r="AK8" i="2"/>
  <c r="AJ9" i="2"/>
  <c r="AK9" i="2"/>
  <c r="AJ6" i="2"/>
  <c r="AK6" i="2"/>
  <c r="AJ12" i="2"/>
  <c r="AK12" i="2"/>
  <c r="AJ5" i="2"/>
  <c r="AK5" i="2"/>
  <c r="AJ10" i="2"/>
  <c r="AK10" i="2"/>
  <c r="AJ13" i="2"/>
  <c r="AK13" i="2"/>
  <c r="AJ11" i="2"/>
  <c r="AK11" i="2"/>
  <c r="AJ15" i="2"/>
  <c r="AK15" i="2"/>
  <c r="AJ14" i="2"/>
  <c r="AK14" i="2"/>
  <c r="AJ16" i="2"/>
  <c r="AK16" i="2"/>
  <c r="AJ17" i="2"/>
  <c r="AK17" i="2"/>
  <c r="AJ18" i="2"/>
  <c r="AK18" i="2"/>
  <c r="AJ19" i="2"/>
  <c r="AK19" i="2"/>
  <c r="AJ20" i="2"/>
  <c r="AK20" i="2"/>
  <c r="AJ21" i="2"/>
  <c r="AK21" i="2"/>
  <c r="AJ22" i="2"/>
  <c r="AK22" i="2"/>
  <c r="AJ23" i="2"/>
  <c r="AK23" i="2"/>
  <c r="AJ3" i="2"/>
  <c r="AK3" i="2"/>
  <c r="AB3" i="2"/>
  <c r="AB5" i="2"/>
  <c r="AB9" i="2"/>
  <c r="AB6" i="2"/>
  <c r="AB12" i="2"/>
  <c r="AB7" i="2"/>
  <c r="AB11" i="2"/>
  <c r="AB8" i="2"/>
  <c r="AB10" i="2"/>
  <c r="AB13" i="2"/>
  <c r="AB14" i="2"/>
  <c r="AB15" i="2"/>
  <c r="AB16" i="2"/>
  <c r="AB17" i="2"/>
  <c r="AB18" i="2"/>
  <c r="AB20" i="2"/>
  <c r="AB21" i="2"/>
  <c r="AB19" i="2"/>
  <c r="AB22" i="2"/>
  <c r="AB23" i="2"/>
  <c r="AB4" i="2"/>
  <c r="B2" i="3"/>
  <c r="B1" i="3"/>
</calcChain>
</file>

<file path=xl/sharedStrings.xml><?xml version="1.0" encoding="utf-8"?>
<sst xmlns="http://schemas.openxmlformats.org/spreadsheetml/2006/main" count="298" uniqueCount="40">
  <si>
    <t>Film</t>
  </si>
  <si>
    <t>Main Character</t>
  </si>
  <si>
    <t>BoxOffice (domestic)</t>
  </si>
  <si>
    <t>IMDB Rating (out of 10)</t>
  </si>
  <si>
    <t>Year Released</t>
  </si>
  <si>
    <t>Iron Man</t>
  </si>
  <si>
    <t>The Incredible Hulk</t>
  </si>
  <si>
    <t>The Hulk</t>
  </si>
  <si>
    <t>Iron Man 2</t>
  </si>
  <si>
    <t>Thor</t>
  </si>
  <si>
    <t>Captain America: The First Avenger</t>
  </si>
  <si>
    <t>Captain America</t>
  </si>
  <si>
    <t>The Avengers</t>
  </si>
  <si>
    <t>Iron Man 3</t>
  </si>
  <si>
    <t>Thor: The Dark World</t>
  </si>
  <si>
    <t>Captain America: The Winter Soldier</t>
  </si>
  <si>
    <t>Guardians of the Galaxy</t>
  </si>
  <si>
    <t>Starlord</t>
  </si>
  <si>
    <t>Avengers: Age of Ultron</t>
  </si>
  <si>
    <t>Ant-Man</t>
  </si>
  <si>
    <t>Captain America: Civil War</t>
  </si>
  <si>
    <t>Doctor Strange</t>
  </si>
  <si>
    <t>Guardians of the Galaxy Vol. 2</t>
  </si>
  <si>
    <t>Spider-Man: Homecoming</t>
  </si>
  <si>
    <t>Spider-Man</t>
  </si>
  <si>
    <t>Thor: Ragnarok</t>
  </si>
  <si>
    <t>Black Panther</t>
  </si>
  <si>
    <t>Avengers: Infinity War</t>
  </si>
  <si>
    <t>Ant-Man and the Wasp</t>
  </si>
  <si>
    <t>Captain Marvel</t>
  </si>
  <si>
    <t>Film Budget</t>
  </si>
  <si>
    <t>Average Film Budget</t>
  </si>
  <si>
    <t>Total Film Budget</t>
  </si>
  <si>
    <t>Top 5 Budget</t>
  </si>
  <si>
    <t>Top 5 Box Office Sales</t>
  </si>
  <si>
    <t>Top 5 Rating</t>
  </si>
  <si>
    <t>Profit</t>
  </si>
  <si>
    <t>Profits %</t>
  </si>
  <si>
    <t>Top 5 Profit ($)</t>
  </si>
  <si>
    <t>Top 5 Profit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</si>
</sst>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1" fontId="0" fillId="0" borderId="0" xfId="0" applyNumberFormat="1"/>
    <xf numFmtId="1" fontId="0" fillId="2" borderId="0" xfId="0" applyNumberFormat="1" applyFill="1"/>
    <xf numFmtId="0" fontId="2" fillId="0" borderId="0" xfId="0" applyFont="1"/>
    <xf numFmtId="1" fontId="2" fillId="0" borderId="0" xfId="0" applyNumberFormat="1" applyFont="1"/>
    <xf numFmtId="43" fontId="0" fillId="0" borderId="0" xfId="1" applyFont="1"/>
    <xf numFmtId="0" fontId="3" fillId="0" borderId="0" xfId="0" applyFont="1"/>
    <xf numFmtId="1" fontId="3" fillId="0" borderId="0" xfId="0" applyNumberFormat="1" applyFont="1"/>
    <xf numFmtId="0" fontId="4" fillId="0" borderId="0" xfId="0" applyFont="1"/>
    <xf numFmtId="1" fontId="4" fillId="0" borderId="0" xfId="0" applyNumberFormat="1" applyFont="1"/>
    <xf numFmtId="1" fontId="0" fillId="0" borderId="0" xfId="0" applyNumberFormat="1" applyFill="1"/>
    <xf numFmtId="0" fontId="7" fillId="0" borderId="0" xfId="0" applyFont="1"/>
    <xf numFmtId="1" fontId="7" fillId="0" borderId="0" xfId="0" applyNumberFormat="1" applyFont="1"/>
    <xf numFmtId="1" fontId="7" fillId="2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7" fillId="3" borderId="0" xfId="0" applyNumberFormat="1" applyFont="1" applyFill="1"/>
    <xf numFmtId="1" fontId="7" fillId="4" borderId="0" xfId="0" applyNumberFormat="1" applyFont="1" applyFill="1"/>
    <xf numFmtId="0" fontId="0" fillId="3" borderId="0" xfId="0" applyFill="1"/>
    <xf numFmtId="1" fontId="2" fillId="3" borderId="0" xfId="0" applyNumberFormat="1" applyFont="1" applyFill="1"/>
    <xf numFmtId="1" fontId="0" fillId="3" borderId="0" xfId="0" applyNumberFormat="1" applyFill="1"/>
    <xf numFmtId="0" fontId="0" fillId="0" borderId="0" xfId="0" applyAlignment="1">
      <alignment horizontal="center"/>
    </xf>
    <xf numFmtId="1" fontId="3" fillId="0" borderId="0" xfId="0" applyNumberFormat="1" applyFont="1" applyFill="1"/>
    <xf numFmtId="1" fontId="4" fillId="0" borderId="0" xfId="0" applyNumberFormat="1" applyFont="1" applyFill="1"/>
    <xf numFmtId="1" fontId="7" fillId="0" borderId="0" xfId="0" applyNumberFormat="1" applyFont="1" applyFill="1"/>
    <xf numFmtId="0" fontId="0" fillId="0" borderId="0" xfId="0" applyFill="1"/>
    <xf numFmtId="0" fontId="3" fillId="3" borderId="0" xfId="0" applyFont="1" applyFill="1"/>
    <xf numFmtId="0" fontId="4" fillId="3" borderId="0" xfId="0" applyFont="1" applyFill="1"/>
    <xf numFmtId="0" fontId="7" fillId="3" borderId="0" xfId="0" applyFont="1" applyFill="1"/>
    <xf numFmtId="0" fontId="3" fillId="0" borderId="0" xfId="0" applyFont="1" applyFill="1"/>
    <xf numFmtId="0" fontId="4" fillId="0" borderId="0" xfId="0" applyFont="1" applyFill="1"/>
    <xf numFmtId="0" fontId="7" fillId="0" borderId="0" xfId="0" applyFont="1" applyFill="1"/>
    <xf numFmtId="9" fontId="0" fillId="3" borderId="0" xfId="2" applyFont="1" applyFill="1"/>
    <xf numFmtId="9" fontId="3" fillId="3" borderId="0" xfId="2" applyFont="1" applyFill="1"/>
    <xf numFmtId="9" fontId="4" fillId="3" borderId="0" xfId="2" applyFont="1" applyFill="1"/>
    <xf numFmtId="9" fontId="7" fillId="3" borderId="0" xfId="2" applyFont="1" applyFill="1"/>
  </cellXfs>
  <cellStyles count="11">
    <cellStyle name="Comma" xfId="1" builtinId="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cent" xfId="2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C24" sqref="C24:C25"/>
    </sheetView>
  </sheetViews>
  <sheetFormatPr baseColWidth="10" defaultRowHeight="16" x14ac:dyDescent="0.2"/>
  <cols>
    <col min="1" max="1" width="30.6640625" bestFit="1" customWidth="1"/>
    <col min="2" max="2" width="14.5" bestFit="1" customWidth="1"/>
    <col min="3" max="4" width="18" style="1" bestFit="1" customWidth="1"/>
    <col min="5" max="5" width="20.33203125" bestFit="1" customWidth="1"/>
    <col min="6" max="6" width="12.5" bestFit="1" customWidth="1"/>
  </cols>
  <sheetData>
    <row r="1" spans="1:6" s="3" customFormat="1" x14ac:dyDescent="0.2">
      <c r="A1" s="3" t="s">
        <v>0</v>
      </c>
      <c r="B1" s="3" t="s">
        <v>1</v>
      </c>
      <c r="C1" s="4" t="s">
        <v>30</v>
      </c>
      <c r="D1" s="4" t="s">
        <v>2</v>
      </c>
      <c r="E1" s="3" t="s">
        <v>3</v>
      </c>
      <c r="F1" s="3" t="s">
        <v>4</v>
      </c>
    </row>
    <row r="2" spans="1:6" x14ac:dyDescent="0.2">
      <c r="A2" t="s">
        <v>5</v>
      </c>
      <c r="B2" t="s">
        <v>5</v>
      </c>
      <c r="C2" s="1">
        <v>140000000</v>
      </c>
      <c r="D2" s="1">
        <v>318298180</v>
      </c>
      <c r="E2">
        <v>7.9</v>
      </c>
      <c r="F2">
        <v>2008</v>
      </c>
    </row>
    <row r="3" spans="1:6" x14ac:dyDescent="0.2">
      <c r="A3" t="s">
        <v>6</v>
      </c>
      <c r="B3" t="s">
        <v>7</v>
      </c>
      <c r="C3" s="1">
        <v>150000000</v>
      </c>
      <c r="D3" s="1">
        <v>134518390</v>
      </c>
      <c r="E3">
        <v>6.8</v>
      </c>
      <c r="F3">
        <v>2008</v>
      </c>
    </row>
    <row r="4" spans="1:6" x14ac:dyDescent="0.2">
      <c r="A4" t="s">
        <v>8</v>
      </c>
      <c r="B4" t="s">
        <v>5</v>
      </c>
      <c r="C4" s="1">
        <v>200000000</v>
      </c>
      <c r="D4" s="1">
        <v>312057433</v>
      </c>
      <c r="E4">
        <v>7</v>
      </c>
      <c r="F4">
        <v>2010</v>
      </c>
    </row>
    <row r="5" spans="1:6" x14ac:dyDescent="0.2">
      <c r="A5" t="s">
        <v>9</v>
      </c>
      <c r="B5" t="s">
        <v>9</v>
      </c>
      <c r="C5" s="1">
        <v>150000000</v>
      </c>
      <c r="D5" s="1">
        <v>181015141</v>
      </c>
      <c r="E5">
        <v>7</v>
      </c>
      <c r="F5">
        <v>2011</v>
      </c>
    </row>
    <row r="6" spans="1:6" x14ac:dyDescent="0.2">
      <c r="A6" t="s">
        <v>10</v>
      </c>
      <c r="B6" t="s">
        <v>11</v>
      </c>
      <c r="C6" s="1">
        <v>140000000</v>
      </c>
      <c r="D6" s="1">
        <v>176636816</v>
      </c>
      <c r="E6">
        <v>6.9</v>
      </c>
      <c r="F6">
        <v>2011</v>
      </c>
    </row>
    <row r="7" spans="1:6" x14ac:dyDescent="0.2">
      <c r="A7" t="s">
        <v>12</v>
      </c>
      <c r="B7" t="s">
        <v>11</v>
      </c>
      <c r="C7" s="1">
        <v>220000000</v>
      </c>
      <c r="D7" s="1">
        <v>623279547</v>
      </c>
      <c r="E7">
        <v>8.1</v>
      </c>
      <c r="F7">
        <v>2012</v>
      </c>
    </row>
    <row r="8" spans="1:6" x14ac:dyDescent="0.2">
      <c r="A8" t="s">
        <v>13</v>
      </c>
      <c r="B8" t="s">
        <v>5</v>
      </c>
      <c r="C8" s="1">
        <v>200000000</v>
      </c>
      <c r="D8" s="1">
        <v>408992272</v>
      </c>
      <c r="E8">
        <v>7.2</v>
      </c>
      <c r="F8">
        <v>2013</v>
      </c>
    </row>
    <row r="9" spans="1:6" x14ac:dyDescent="0.2">
      <c r="A9" t="s">
        <v>14</v>
      </c>
      <c r="B9" t="s">
        <v>9</v>
      </c>
      <c r="C9" s="1">
        <v>170000000</v>
      </c>
      <c r="D9" s="1">
        <v>206360018</v>
      </c>
      <c r="E9">
        <v>7</v>
      </c>
      <c r="F9">
        <v>2013</v>
      </c>
    </row>
    <row r="10" spans="1:6" x14ac:dyDescent="0.2">
      <c r="A10" t="s">
        <v>15</v>
      </c>
      <c r="B10" t="s">
        <v>11</v>
      </c>
      <c r="C10" s="1">
        <v>170000000</v>
      </c>
      <c r="D10" s="1">
        <v>228636083</v>
      </c>
      <c r="E10">
        <v>7.8</v>
      </c>
      <c r="F10">
        <v>2014</v>
      </c>
    </row>
    <row r="11" spans="1:6" x14ac:dyDescent="0.2">
      <c r="A11" t="s">
        <v>16</v>
      </c>
      <c r="B11" t="s">
        <v>17</v>
      </c>
      <c r="C11" s="1">
        <v>170000000</v>
      </c>
      <c r="D11" s="1">
        <v>270592504</v>
      </c>
      <c r="E11">
        <v>8.1</v>
      </c>
      <c r="F11">
        <v>2014</v>
      </c>
    </row>
    <row r="12" spans="1:6" x14ac:dyDescent="0.2">
      <c r="A12" t="s">
        <v>18</v>
      </c>
      <c r="B12" t="s">
        <v>5</v>
      </c>
      <c r="C12" s="1">
        <v>250000000</v>
      </c>
      <c r="D12" s="1">
        <v>429113729</v>
      </c>
      <c r="E12">
        <v>7.4</v>
      </c>
      <c r="F12">
        <v>2015</v>
      </c>
    </row>
    <row r="13" spans="1:6" x14ac:dyDescent="0.2">
      <c r="A13" t="s">
        <v>19</v>
      </c>
      <c r="B13" t="s">
        <v>19</v>
      </c>
      <c r="C13" s="1">
        <v>130000000</v>
      </c>
      <c r="D13" s="1">
        <v>138002223</v>
      </c>
      <c r="E13">
        <v>7.3</v>
      </c>
      <c r="F13">
        <v>2015</v>
      </c>
    </row>
    <row r="14" spans="1:6" x14ac:dyDescent="0.2">
      <c r="A14" t="s">
        <v>20</v>
      </c>
      <c r="B14" t="s">
        <v>11</v>
      </c>
      <c r="C14" s="1">
        <v>250000000</v>
      </c>
      <c r="D14" s="1">
        <v>408080554</v>
      </c>
      <c r="E14">
        <v>7.8</v>
      </c>
      <c r="F14">
        <v>2016</v>
      </c>
    </row>
    <row r="15" spans="1:6" x14ac:dyDescent="0.2">
      <c r="A15" t="s">
        <v>21</v>
      </c>
      <c r="B15" t="s">
        <v>21</v>
      </c>
      <c r="C15" s="1">
        <v>165000000</v>
      </c>
      <c r="D15" s="1">
        <v>232630718</v>
      </c>
      <c r="E15">
        <v>7.5</v>
      </c>
      <c r="F15">
        <v>2016</v>
      </c>
    </row>
    <row r="16" spans="1:6" x14ac:dyDescent="0.2">
      <c r="A16" t="s">
        <v>22</v>
      </c>
      <c r="B16" t="s">
        <v>17</v>
      </c>
      <c r="C16" s="1">
        <v>200000000</v>
      </c>
      <c r="D16" s="1">
        <v>389804217</v>
      </c>
      <c r="E16">
        <v>7.7</v>
      </c>
      <c r="F16">
        <v>2017</v>
      </c>
    </row>
    <row r="17" spans="1:6" x14ac:dyDescent="0.2">
      <c r="A17" t="s">
        <v>23</v>
      </c>
      <c r="B17" t="s">
        <v>24</v>
      </c>
      <c r="C17" s="1">
        <v>175000000</v>
      </c>
      <c r="D17" s="1">
        <v>334166825</v>
      </c>
      <c r="E17">
        <v>7.5</v>
      </c>
      <c r="F17">
        <v>2017</v>
      </c>
    </row>
    <row r="18" spans="1:6" x14ac:dyDescent="0.2">
      <c r="A18" t="s">
        <v>25</v>
      </c>
      <c r="B18" t="s">
        <v>9</v>
      </c>
      <c r="C18" s="1">
        <v>180000000</v>
      </c>
      <c r="D18" s="1">
        <v>314971245</v>
      </c>
      <c r="E18">
        <v>7.9</v>
      </c>
      <c r="F18">
        <v>2017</v>
      </c>
    </row>
    <row r="19" spans="1:6" x14ac:dyDescent="0.2">
      <c r="A19" t="s">
        <v>26</v>
      </c>
      <c r="B19" t="s">
        <v>26</v>
      </c>
      <c r="C19" s="1">
        <v>200000000</v>
      </c>
      <c r="D19" s="1">
        <v>501105037</v>
      </c>
      <c r="E19">
        <v>7.3</v>
      </c>
      <c r="F19">
        <v>2018</v>
      </c>
    </row>
    <row r="20" spans="1:6" x14ac:dyDescent="0.2">
      <c r="A20" t="s">
        <v>27</v>
      </c>
      <c r="B20" t="s">
        <v>11</v>
      </c>
      <c r="C20" s="1">
        <v>321000000</v>
      </c>
      <c r="D20" s="1">
        <v>664987816</v>
      </c>
      <c r="E20">
        <v>8.5</v>
      </c>
      <c r="F20">
        <v>2018</v>
      </c>
    </row>
    <row r="21" spans="1:6" x14ac:dyDescent="0.2">
      <c r="A21" t="s">
        <v>28</v>
      </c>
      <c r="B21" t="s">
        <v>19</v>
      </c>
      <c r="C21" s="1">
        <v>162000000</v>
      </c>
      <c r="D21" s="2">
        <v>216648740</v>
      </c>
      <c r="E21">
        <v>7.1</v>
      </c>
      <c r="F21">
        <v>2018</v>
      </c>
    </row>
    <row r="22" spans="1:6" x14ac:dyDescent="0.2">
      <c r="A22" t="s">
        <v>29</v>
      </c>
      <c r="B22" t="s">
        <v>29</v>
      </c>
      <c r="C22" s="1">
        <v>152000000</v>
      </c>
      <c r="D22" s="2">
        <v>333305815</v>
      </c>
      <c r="E22">
        <v>6.9</v>
      </c>
      <c r="F22">
        <v>2019</v>
      </c>
    </row>
    <row r="23" spans="1:6" x14ac:dyDescent="0.2">
      <c r="D23" s="10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3"/>
  <sheetViews>
    <sheetView workbookViewId="0">
      <selection activeCell="AH28" sqref="AH28"/>
    </sheetView>
  </sheetViews>
  <sheetFormatPr baseColWidth="10" defaultRowHeight="16" x14ac:dyDescent="0.2"/>
  <cols>
    <col min="1" max="1" width="30.6640625" bestFit="1" customWidth="1"/>
    <col min="2" max="2" width="14.5" bestFit="1" customWidth="1"/>
    <col min="3" max="3" width="11" style="18" bestFit="1" customWidth="1"/>
    <col min="4" max="4" width="18.5" bestFit="1" customWidth="1"/>
    <col min="5" max="5" width="20.6640625" bestFit="1" customWidth="1"/>
    <col min="6" max="6" width="12.83203125" bestFit="1" customWidth="1"/>
    <col min="8" max="8" width="30.6640625" bestFit="1" customWidth="1"/>
    <col min="9" max="9" width="14.5" bestFit="1" customWidth="1"/>
    <col min="10" max="10" width="11" bestFit="1" customWidth="1"/>
    <col min="11" max="11" width="18.5" style="18" bestFit="1" customWidth="1"/>
    <col min="12" max="12" width="20.6640625" bestFit="1" customWidth="1"/>
    <col min="13" max="13" width="12.83203125" bestFit="1" customWidth="1"/>
    <col min="15" max="15" width="30.6640625" bestFit="1" customWidth="1"/>
    <col min="16" max="16" width="14.5" bestFit="1" customWidth="1"/>
    <col min="17" max="17" width="11" bestFit="1" customWidth="1"/>
    <col min="18" max="18" width="18.5" style="25" bestFit="1" customWidth="1"/>
    <col min="19" max="19" width="20.6640625" style="18" bestFit="1" customWidth="1"/>
    <col min="20" max="20" width="12.83203125" bestFit="1" customWidth="1"/>
    <col min="22" max="22" width="30.6640625" bestFit="1" customWidth="1"/>
    <col min="23" max="23" width="14.5" bestFit="1" customWidth="1"/>
    <col min="24" max="24" width="11" bestFit="1" customWidth="1"/>
    <col min="25" max="25" width="18.5" style="25" bestFit="1" customWidth="1"/>
    <col min="26" max="26" width="20.6640625" style="25" bestFit="1" customWidth="1"/>
    <col min="27" max="27" width="12.83203125" bestFit="1" customWidth="1"/>
    <col min="28" max="28" width="12.83203125" style="18" bestFit="1" customWidth="1"/>
    <col min="30" max="30" width="30.6640625" bestFit="1" customWidth="1"/>
    <col min="31" max="31" width="14.5" bestFit="1" customWidth="1"/>
    <col min="32" max="32" width="11" bestFit="1" customWidth="1"/>
    <col min="33" max="33" width="18.5" bestFit="1" customWidth="1"/>
    <col min="34" max="34" width="20.6640625" bestFit="1" customWidth="1"/>
    <col min="35" max="35" width="12.83203125" bestFit="1" customWidth="1"/>
    <col min="36" max="36" width="10.1640625" bestFit="1" customWidth="1"/>
    <col min="37" max="37" width="8.5" style="32" bestFit="1" customWidth="1"/>
  </cols>
  <sheetData>
    <row r="1" spans="1:37" x14ac:dyDescent="0.2">
      <c r="A1" s="21" t="s">
        <v>33</v>
      </c>
      <c r="B1" s="21"/>
      <c r="C1" s="21"/>
      <c r="D1" s="21"/>
      <c r="E1" s="21"/>
      <c r="F1" s="21"/>
      <c r="H1" s="21" t="s">
        <v>34</v>
      </c>
      <c r="I1" s="21"/>
      <c r="J1" s="21"/>
      <c r="K1" s="21"/>
      <c r="L1" s="21"/>
      <c r="M1" s="21"/>
      <c r="O1" s="21" t="s">
        <v>35</v>
      </c>
      <c r="P1" s="21"/>
      <c r="Q1" s="21"/>
      <c r="R1" s="21"/>
      <c r="S1" s="21"/>
      <c r="T1" s="21"/>
      <c r="V1" s="21" t="s">
        <v>38</v>
      </c>
      <c r="W1" s="21"/>
      <c r="X1" s="21"/>
      <c r="Y1" s="21"/>
      <c r="Z1" s="21"/>
      <c r="AA1" s="21"/>
      <c r="AB1" s="21"/>
      <c r="AD1" s="21" t="s">
        <v>39</v>
      </c>
      <c r="AE1" s="21"/>
      <c r="AF1" s="21"/>
      <c r="AG1" s="21"/>
      <c r="AH1" s="21"/>
      <c r="AI1" s="21"/>
      <c r="AJ1" s="21"/>
      <c r="AK1" s="21"/>
    </row>
    <row r="2" spans="1:37" x14ac:dyDescent="0.2">
      <c r="A2" s="3" t="s">
        <v>0</v>
      </c>
      <c r="B2" s="3" t="s">
        <v>1</v>
      </c>
      <c r="C2" s="19" t="s">
        <v>30</v>
      </c>
      <c r="D2" s="4" t="s">
        <v>2</v>
      </c>
      <c r="E2" s="3" t="s">
        <v>3</v>
      </c>
      <c r="F2" s="3" t="s">
        <v>4</v>
      </c>
      <c r="H2" s="6" t="s">
        <v>0</v>
      </c>
      <c r="I2" s="6" t="s">
        <v>1</v>
      </c>
      <c r="J2" s="7" t="s">
        <v>30</v>
      </c>
      <c r="K2" s="14" t="s">
        <v>2</v>
      </c>
      <c r="L2" s="6" t="s">
        <v>3</v>
      </c>
      <c r="M2" s="6" t="s">
        <v>4</v>
      </c>
      <c r="O2" s="6" t="s">
        <v>0</v>
      </c>
      <c r="P2" s="6" t="s">
        <v>1</v>
      </c>
      <c r="Q2" s="7" t="s">
        <v>30</v>
      </c>
      <c r="R2" s="22" t="s">
        <v>2</v>
      </c>
      <c r="S2" s="26" t="s">
        <v>3</v>
      </c>
      <c r="T2" s="6" t="s">
        <v>4</v>
      </c>
      <c r="V2" s="6" t="s">
        <v>0</v>
      </c>
      <c r="W2" s="6" t="s">
        <v>1</v>
      </c>
      <c r="X2" s="7" t="s">
        <v>30</v>
      </c>
      <c r="Y2" s="22" t="s">
        <v>2</v>
      </c>
      <c r="Z2" s="29" t="s">
        <v>3</v>
      </c>
      <c r="AA2" s="6" t="s">
        <v>4</v>
      </c>
      <c r="AB2" s="26" t="s">
        <v>36</v>
      </c>
      <c r="AD2" s="6" t="s">
        <v>0</v>
      </c>
      <c r="AE2" s="6" t="s">
        <v>1</v>
      </c>
      <c r="AF2" s="6" t="s">
        <v>30</v>
      </c>
      <c r="AG2" s="6" t="s">
        <v>2</v>
      </c>
      <c r="AH2" s="6" t="s">
        <v>3</v>
      </c>
      <c r="AI2" s="6" t="s">
        <v>4</v>
      </c>
      <c r="AJ2" s="6" t="s">
        <v>36</v>
      </c>
      <c r="AK2" s="33" t="s">
        <v>37</v>
      </c>
    </row>
    <row r="3" spans="1:37" x14ac:dyDescent="0.2">
      <c r="A3" t="s">
        <v>27</v>
      </c>
      <c r="B3" t="s">
        <v>11</v>
      </c>
      <c r="C3" s="20">
        <v>321000000</v>
      </c>
      <c r="D3" s="1">
        <v>664987816</v>
      </c>
      <c r="E3">
        <v>8.5</v>
      </c>
      <c r="F3">
        <v>2018</v>
      </c>
      <c r="H3" s="8" t="s">
        <v>27</v>
      </c>
      <c r="I3" s="8" t="s">
        <v>11</v>
      </c>
      <c r="J3" s="9">
        <v>321000000</v>
      </c>
      <c r="K3" s="15">
        <v>664987816</v>
      </c>
      <c r="L3" s="8">
        <v>8.5</v>
      </c>
      <c r="M3" s="8">
        <v>2018</v>
      </c>
      <c r="O3" s="8" t="s">
        <v>27</v>
      </c>
      <c r="P3" s="8" t="s">
        <v>11</v>
      </c>
      <c r="Q3" s="9">
        <v>321000000</v>
      </c>
      <c r="R3" s="23">
        <v>664987816</v>
      </c>
      <c r="S3" s="27">
        <v>8.5</v>
      </c>
      <c r="T3" s="8">
        <v>2018</v>
      </c>
      <c r="V3" s="8" t="s">
        <v>12</v>
      </c>
      <c r="W3" s="8" t="s">
        <v>11</v>
      </c>
      <c r="X3" s="9">
        <v>220000000</v>
      </c>
      <c r="Y3" s="23">
        <v>623279547</v>
      </c>
      <c r="Z3" s="30">
        <v>8.1</v>
      </c>
      <c r="AA3" s="8">
        <v>2012</v>
      </c>
      <c r="AB3" s="27">
        <f>Y3-X3</f>
        <v>403279547</v>
      </c>
      <c r="AD3" s="8" t="s">
        <v>12</v>
      </c>
      <c r="AE3" s="8" t="s">
        <v>11</v>
      </c>
      <c r="AF3" s="8">
        <v>220000000</v>
      </c>
      <c r="AG3" s="8">
        <v>623279547</v>
      </c>
      <c r="AH3" s="8">
        <v>8.1</v>
      </c>
      <c r="AI3" s="8">
        <v>2012</v>
      </c>
      <c r="AJ3" s="8">
        <f>AG3-AF3</f>
        <v>403279547</v>
      </c>
      <c r="AK3" s="34">
        <f>AJ3/AG3</f>
        <v>0.64702836623002491</v>
      </c>
    </row>
    <row r="4" spans="1:37" x14ac:dyDescent="0.2">
      <c r="A4" t="s">
        <v>18</v>
      </c>
      <c r="B4" t="s">
        <v>5</v>
      </c>
      <c r="C4" s="20">
        <v>250000000</v>
      </c>
      <c r="D4" s="1">
        <v>429113729</v>
      </c>
      <c r="E4">
        <v>7.4</v>
      </c>
      <c r="F4">
        <v>2015</v>
      </c>
      <c r="H4" s="8" t="s">
        <v>12</v>
      </c>
      <c r="I4" s="8" t="s">
        <v>11</v>
      </c>
      <c r="J4" s="9">
        <v>220000000</v>
      </c>
      <c r="K4" s="15">
        <v>623279547</v>
      </c>
      <c r="L4" s="8">
        <v>8.1</v>
      </c>
      <c r="M4" s="8">
        <v>2012</v>
      </c>
      <c r="O4" s="8" t="s">
        <v>12</v>
      </c>
      <c r="P4" s="8" t="s">
        <v>11</v>
      </c>
      <c r="Q4" s="9">
        <v>220000000</v>
      </c>
      <c r="R4" s="23">
        <v>623279547</v>
      </c>
      <c r="S4" s="27">
        <v>8.1</v>
      </c>
      <c r="T4" s="8">
        <v>2012</v>
      </c>
      <c r="V4" s="8" t="s">
        <v>27</v>
      </c>
      <c r="W4" s="8" t="s">
        <v>11</v>
      </c>
      <c r="X4" s="9">
        <v>321000000</v>
      </c>
      <c r="Y4" s="23">
        <v>664987816</v>
      </c>
      <c r="Z4" s="30">
        <v>8.5</v>
      </c>
      <c r="AA4" s="8">
        <v>2018</v>
      </c>
      <c r="AB4" s="27">
        <f>Y4-X4</f>
        <v>343987816</v>
      </c>
      <c r="AD4" s="8" t="s">
        <v>26</v>
      </c>
      <c r="AE4" s="8" t="s">
        <v>26</v>
      </c>
      <c r="AF4" s="8">
        <v>200000000</v>
      </c>
      <c r="AG4" s="8">
        <v>501105037</v>
      </c>
      <c r="AH4" s="8">
        <v>7.3</v>
      </c>
      <c r="AI4" s="8">
        <v>2018</v>
      </c>
      <c r="AJ4" s="8">
        <f>AG4-AF4</f>
        <v>301105037</v>
      </c>
      <c r="AK4" s="34">
        <f>AJ4/AG4</f>
        <v>0.6008820801376219</v>
      </c>
    </row>
    <row r="5" spans="1:37" x14ac:dyDescent="0.2">
      <c r="A5" t="s">
        <v>20</v>
      </c>
      <c r="B5" t="s">
        <v>11</v>
      </c>
      <c r="C5" s="20">
        <v>250000000</v>
      </c>
      <c r="D5" s="1">
        <v>408080554</v>
      </c>
      <c r="E5">
        <v>7.8</v>
      </c>
      <c r="F5">
        <v>2016</v>
      </c>
      <c r="H5" s="8" t="s">
        <v>16</v>
      </c>
      <c r="I5" s="8" t="s">
        <v>17</v>
      </c>
      <c r="J5" s="9">
        <v>170000000</v>
      </c>
      <c r="K5" s="15">
        <v>270592504</v>
      </c>
      <c r="L5" s="8">
        <v>8.1</v>
      </c>
      <c r="M5" s="8">
        <v>2014</v>
      </c>
      <c r="O5" s="8" t="s">
        <v>26</v>
      </c>
      <c r="P5" s="8" t="s">
        <v>26</v>
      </c>
      <c r="Q5" s="9">
        <v>200000000</v>
      </c>
      <c r="R5" s="23">
        <v>501105037</v>
      </c>
      <c r="S5" s="27">
        <v>7.3</v>
      </c>
      <c r="T5" s="8">
        <v>2018</v>
      </c>
      <c r="V5" s="8" t="s">
        <v>26</v>
      </c>
      <c r="W5" s="8" t="s">
        <v>26</v>
      </c>
      <c r="X5" s="9">
        <v>200000000</v>
      </c>
      <c r="Y5" s="23">
        <v>501105037</v>
      </c>
      <c r="Z5" s="30">
        <v>7.3</v>
      </c>
      <c r="AA5" s="8">
        <v>2018</v>
      </c>
      <c r="AB5" s="27">
        <f>Y5-X5</f>
        <v>301105037</v>
      </c>
      <c r="AD5" s="8" t="s">
        <v>5</v>
      </c>
      <c r="AE5" s="8" t="s">
        <v>5</v>
      </c>
      <c r="AF5" s="8">
        <v>140000000</v>
      </c>
      <c r="AG5" s="8">
        <v>318298180</v>
      </c>
      <c r="AH5" s="8">
        <v>7.9</v>
      </c>
      <c r="AI5" s="8">
        <v>2008</v>
      </c>
      <c r="AJ5" s="8">
        <f>AG5-AF5</f>
        <v>178298180</v>
      </c>
      <c r="AK5" s="34">
        <f>AJ5/AG5</f>
        <v>0.56016085294612739</v>
      </c>
    </row>
    <row r="6" spans="1:37" x14ac:dyDescent="0.2">
      <c r="A6" t="s">
        <v>12</v>
      </c>
      <c r="B6" t="s">
        <v>11</v>
      </c>
      <c r="C6" s="20">
        <v>220000000</v>
      </c>
      <c r="D6" s="1">
        <v>623279547</v>
      </c>
      <c r="E6">
        <v>8.1</v>
      </c>
      <c r="F6">
        <v>2012</v>
      </c>
      <c r="H6" s="8" t="s">
        <v>5</v>
      </c>
      <c r="I6" s="8" t="s">
        <v>5</v>
      </c>
      <c r="J6" s="9">
        <v>140000000</v>
      </c>
      <c r="K6" s="15">
        <v>318298180</v>
      </c>
      <c r="L6" s="8">
        <v>7.9</v>
      </c>
      <c r="M6" s="8">
        <v>2008</v>
      </c>
      <c r="O6" s="8" t="s">
        <v>18</v>
      </c>
      <c r="P6" s="8" t="s">
        <v>5</v>
      </c>
      <c r="Q6" s="9">
        <v>250000000</v>
      </c>
      <c r="R6" s="23">
        <v>429113729</v>
      </c>
      <c r="S6" s="27">
        <v>7.4</v>
      </c>
      <c r="T6" s="8">
        <v>2015</v>
      </c>
      <c r="V6" s="8" t="s">
        <v>13</v>
      </c>
      <c r="W6" s="8" t="s">
        <v>5</v>
      </c>
      <c r="X6" s="9">
        <v>200000000</v>
      </c>
      <c r="Y6" s="23">
        <v>408992272</v>
      </c>
      <c r="Z6" s="30">
        <v>7.2</v>
      </c>
      <c r="AA6" s="8">
        <v>2013</v>
      </c>
      <c r="AB6" s="27">
        <f>Y6-X6</f>
        <v>208992272</v>
      </c>
      <c r="AD6" s="8" t="s">
        <v>29</v>
      </c>
      <c r="AE6" s="8" t="s">
        <v>29</v>
      </c>
      <c r="AF6" s="8">
        <v>152000000</v>
      </c>
      <c r="AG6" s="8">
        <v>333305815</v>
      </c>
      <c r="AH6" s="8">
        <v>6.9</v>
      </c>
      <c r="AI6" s="8">
        <v>2019</v>
      </c>
      <c r="AJ6" s="8">
        <f>AG6-AF6</f>
        <v>181305815</v>
      </c>
      <c r="AK6" s="34">
        <f>AJ6/AG6</f>
        <v>0.54396235181195385</v>
      </c>
    </row>
    <row r="7" spans="1:37" x14ac:dyDescent="0.2">
      <c r="A7" t="s">
        <v>8</v>
      </c>
      <c r="B7" t="s">
        <v>5</v>
      </c>
      <c r="C7" s="20">
        <v>200000000</v>
      </c>
      <c r="D7" s="1">
        <v>312057433</v>
      </c>
      <c r="E7">
        <v>7</v>
      </c>
      <c r="F7">
        <v>2010</v>
      </c>
      <c r="H7" s="8" t="s">
        <v>25</v>
      </c>
      <c r="I7" s="8" t="s">
        <v>9</v>
      </c>
      <c r="J7" s="9">
        <v>180000000</v>
      </c>
      <c r="K7" s="15">
        <v>314971245</v>
      </c>
      <c r="L7" s="8">
        <v>7.9</v>
      </c>
      <c r="M7" s="8">
        <v>2017</v>
      </c>
      <c r="O7" s="8" t="s">
        <v>13</v>
      </c>
      <c r="P7" s="8" t="s">
        <v>5</v>
      </c>
      <c r="Q7" s="9">
        <v>200000000</v>
      </c>
      <c r="R7" s="23">
        <v>408992272</v>
      </c>
      <c r="S7" s="27">
        <v>7.2</v>
      </c>
      <c r="T7" s="8">
        <v>2013</v>
      </c>
      <c r="V7" s="8" t="s">
        <v>22</v>
      </c>
      <c r="W7" s="8" t="s">
        <v>17</v>
      </c>
      <c r="X7" s="9">
        <v>200000000</v>
      </c>
      <c r="Y7" s="23">
        <v>389804217</v>
      </c>
      <c r="Z7" s="30">
        <v>7.7</v>
      </c>
      <c r="AA7" s="8">
        <v>2017</v>
      </c>
      <c r="AB7" s="27">
        <f>Y7-X7</f>
        <v>189804217</v>
      </c>
      <c r="AD7" s="8" t="s">
        <v>27</v>
      </c>
      <c r="AE7" s="8" t="s">
        <v>11</v>
      </c>
      <c r="AF7" s="8">
        <v>321000000</v>
      </c>
      <c r="AG7" s="8">
        <v>664987816</v>
      </c>
      <c r="AH7" s="8">
        <v>8.5</v>
      </c>
      <c r="AI7" s="8">
        <v>2018</v>
      </c>
      <c r="AJ7" s="8">
        <f>AG7-AF7</f>
        <v>343987816</v>
      </c>
      <c r="AK7" s="34">
        <f>AJ7/AG7</f>
        <v>0.51728438886164496</v>
      </c>
    </row>
    <row r="8" spans="1:37" s="11" customFormat="1" x14ac:dyDescent="0.2">
      <c r="A8" s="11" t="s">
        <v>13</v>
      </c>
      <c r="B8" s="11" t="s">
        <v>5</v>
      </c>
      <c r="C8" s="16">
        <v>200000000</v>
      </c>
      <c r="D8" s="12">
        <v>408992272</v>
      </c>
      <c r="E8" s="11">
        <v>7.2</v>
      </c>
      <c r="F8" s="11">
        <v>2013</v>
      </c>
      <c r="H8" s="11" t="s">
        <v>15</v>
      </c>
      <c r="I8" s="11" t="s">
        <v>11</v>
      </c>
      <c r="J8" s="12">
        <v>170000000</v>
      </c>
      <c r="K8" s="16">
        <v>228636083</v>
      </c>
      <c r="L8" s="11">
        <v>7.8</v>
      </c>
      <c r="M8" s="11">
        <v>2014</v>
      </c>
      <c r="O8" s="11" t="s">
        <v>20</v>
      </c>
      <c r="P8" s="11" t="s">
        <v>11</v>
      </c>
      <c r="Q8" s="12">
        <v>250000000</v>
      </c>
      <c r="R8" s="24">
        <v>408080554</v>
      </c>
      <c r="S8" s="28">
        <v>7.8</v>
      </c>
      <c r="T8" s="11">
        <v>2016</v>
      </c>
      <c r="V8" s="11" t="s">
        <v>29</v>
      </c>
      <c r="W8" s="11" t="s">
        <v>29</v>
      </c>
      <c r="X8" s="12">
        <v>152000000</v>
      </c>
      <c r="Y8" s="24">
        <v>333305815</v>
      </c>
      <c r="Z8" s="31">
        <v>6.9</v>
      </c>
      <c r="AA8" s="11">
        <v>2019</v>
      </c>
      <c r="AB8" s="28">
        <f>Y8-X8</f>
        <v>181305815</v>
      </c>
      <c r="AD8" s="11" t="s">
        <v>13</v>
      </c>
      <c r="AE8" s="11" t="s">
        <v>5</v>
      </c>
      <c r="AF8" s="11">
        <v>200000000</v>
      </c>
      <c r="AG8" s="11">
        <v>408992272</v>
      </c>
      <c r="AH8" s="11">
        <v>7.2</v>
      </c>
      <c r="AI8" s="11">
        <v>2013</v>
      </c>
      <c r="AJ8" s="11">
        <f>AG8-AF8</f>
        <v>208992272</v>
      </c>
      <c r="AK8" s="35">
        <f>AJ8/AG8</f>
        <v>0.51099320527014747</v>
      </c>
    </row>
    <row r="9" spans="1:37" s="11" customFormat="1" x14ac:dyDescent="0.2">
      <c r="A9" s="11" t="s">
        <v>22</v>
      </c>
      <c r="B9" s="11" t="s">
        <v>17</v>
      </c>
      <c r="C9" s="16">
        <v>200000000</v>
      </c>
      <c r="D9" s="12">
        <v>389804217</v>
      </c>
      <c r="E9" s="11">
        <v>7.7</v>
      </c>
      <c r="F9" s="11">
        <v>2017</v>
      </c>
      <c r="H9" s="11" t="s">
        <v>20</v>
      </c>
      <c r="I9" s="11" t="s">
        <v>11</v>
      </c>
      <c r="J9" s="12">
        <v>250000000</v>
      </c>
      <c r="K9" s="16">
        <v>408080554</v>
      </c>
      <c r="L9" s="11">
        <v>7.8</v>
      </c>
      <c r="M9" s="11">
        <v>2016</v>
      </c>
      <c r="O9" s="11" t="s">
        <v>22</v>
      </c>
      <c r="P9" s="11" t="s">
        <v>17</v>
      </c>
      <c r="Q9" s="12">
        <v>200000000</v>
      </c>
      <c r="R9" s="24">
        <v>389804217</v>
      </c>
      <c r="S9" s="28">
        <v>7.7</v>
      </c>
      <c r="T9" s="11">
        <v>2017</v>
      </c>
      <c r="V9" s="11" t="s">
        <v>18</v>
      </c>
      <c r="W9" s="11" t="s">
        <v>5</v>
      </c>
      <c r="X9" s="12">
        <v>250000000</v>
      </c>
      <c r="Y9" s="24">
        <v>429113729</v>
      </c>
      <c r="Z9" s="31">
        <v>7.4</v>
      </c>
      <c r="AA9" s="11">
        <v>2015</v>
      </c>
      <c r="AB9" s="28">
        <f>Y9-X9</f>
        <v>179113729</v>
      </c>
      <c r="AD9" s="11" t="s">
        <v>22</v>
      </c>
      <c r="AE9" s="11" t="s">
        <v>17</v>
      </c>
      <c r="AF9" s="11">
        <v>200000000</v>
      </c>
      <c r="AG9" s="11">
        <v>389804217</v>
      </c>
      <c r="AH9" s="11">
        <v>7.7</v>
      </c>
      <c r="AI9" s="11">
        <v>2017</v>
      </c>
      <c r="AJ9" s="11">
        <f>AG9-AF9</f>
        <v>189804217</v>
      </c>
      <c r="AK9" s="35">
        <f>AJ9/AG9</f>
        <v>0.48692191803558654</v>
      </c>
    </row>
    <row r="10" spans="1:37" s="11" customFormat="1" x14ac:dyDescent="0.2">
      <c r="A10" s="11" t="s">
        <v>26</v>
      </c>
      <c r="B10" s="11" t="s">
        <v>26</v>
      </c>
      <c r="C10" s="16">
        <v>200000000</v>
      </c>
      <c r="D10" s="12">
        <v>501105037</v>
      </c>
      <c r="E10" s="11">
        <v>7.3</v>
      </c>
      <c r="F10" s="11">
        <v>2018</v>
      </c>
      <c r="H10" s="11" t="s">
        <v>22</v>
      </c>
      <c r="I10" s="11" t="s">
        <v>17</v>
      </c>
      <c r="J10" s="12">
        <v>200000000</v>
      </c>
      <c r="K10" s="16">
        <v>389804217</v>
      </c>
      <c r="L10" s="11">
        <v>7.7</v>
      </c>
      <c r="M10" s="11">
        <v>2017</v>
      </c>
      <c r="O10" s="11" t="s">
        <v>23</v>
      </c>
      <c r="P10" s="11" t="s">
        <v>24</v>
      </c>
      <c r="Q10" s="12">
        <v>175000000</v>
      </c>
      <c r="R10" s="24">
        <v>334166825</v>
      </c>
      <c r="S10" s="28">
        <v>7.5</v>
      </c>
      <c r="T10" s="11">
        <v>2017</v>
      </c>
      <c r="V10" s="11" t="s">
        <v>5</v>
      </c>
      <c r="W10" s="11" t="s">
        <v>5</v>
      </c>
      <c r="X10" s="12">
        <v>140000000</v>
      </c>
      <c r="Y10" s="24">
        <v>318298180</v>
      </c>
      <c r="Z10" s="31">
        <v>7.9</v>
      </c>
      <c r="AA10" s="11">
        <v>2008</v>
      </c>
      <c r="AB10" s="28">
        <f>Y10-X10</f>
        <v>178298180</v>
      </c>
      <c r="AD10" s="11" t="s">
        <v>23</v>
      </c>
      <c r="AE10" s="11" t="s">
        <v>24</v>
      </c>
      <c r="AF10" s="11">
        <v>175000000</v>
      </c>
      <c r="AG10" s="11">
        <v>334166825</v>
      </c>
      <c r="AH10" s="11">
        <v>7.5</v>
      </c>
      <c r="AI10" s="11">
        <v>2017</v>
      </c>
      <c r="AJ10" s="11">
        <f>AG10-AF10</f>
        <v>159166825</v>
      </c>
      <c r="AK10" s="35">
        <f>AJ10/AG10</f>
        <v>0.476309475065336</v>
      </c>
    </row>
    <row r="11" spans="1:37" s="11" customFormat="1" x14ac:dyDescent="0.2">
      <c r="A11" s="11" t="s">
        <v>25</v>
      </c>
      <c r="B11" s="11" t="s">
        <v>9</v>
      </c>
      <c r="C11" s="16">
        <v>180000000</v>
      </c>
      <c r="D11" s="12">
        <v>314971245</v>
      </c>
      <c r="E11" s="11">
        <v>7.9</v>
      </c>
      <c r="F11" s="11">
        <v>2017</v>
      </c>
      <c r="H11" s="11" t="s">
        <v>21</v>
      </c>
      <c r="I11" s="11" t="s">
        <v>21</v>
      </c>
      <c r="J11" s="12">
        <v>165000000</v>
      </c>
      <c r="K11" s="16">
        <v>232630718</v>
      </c>
      <c r="L11" s="11">
        <v>7.5</v>
      </c>
      <c r="M11" s="11">
        <v>2016</v>
      </c>
      <c r="O11" s="11" t="s">
        <v>29</v>
      </c>
      <c r="P11" s="11" t="s">
        <v>29</v>
      </c>
      <c r="Q11" s="12">
        <v>152000000</v>
      </c>
      <c r="R11" s="24">
        <v>333305815</v>
      </c>
      <c r="S11" s="28">
        <v>6.9</v>
      </c>
      <c r="T11" s="11">
        <v>2019</v>
      </c>
      <c r="V11" s="11" t="s">
        <v>23</v>
      </c>
      <c r="W11" s="11" t="s">
        <v>24</v>
      </c>
      <c r="X11" s="12">
        <v>175000000</v>
      </c>
      <c r="Y11" s="24">
        <v>334166825</v>
      </c>
      <c r="Z11" s="31">
        <v>7.5</v>
      </c>
      <c r="AA11" s="11">
        <v>2017</v>
      </c>
      <c r="AB11" s="28">
        <f>Y11-X11</f>
        <v>159166825</v>
      </c>
      <c r="AD11" s="11" t="s">
        <v>25</v>
      </c>
      <c r="AE11" s="11" t="s">
        <v>9</v>
      </c>
      <c r="AF11" s="11">
        <v>180000000</v>
      </c>
      <c r="AG11" s="11">
        <v>314971245</v>
      </c>
      <c r="AH11" s="11">
        <v>7.9</v>
      </c>
      <c r="AI11" s="11">
        <v>2017</v>
      </c>
      <c r="AJ11" s="11">
        <f>AG11-AF11</f>
        <v>134971245</v>
      </c>
      <c r="AK11" s="35">
        <f>AJ11/AG11</f>
        <v>0.42851926054392681</v>
      </c>
    </row>
    <row r="12" spans="1:37" s="11" customFormat="1" x14ac:dyDescent="0.2">
      <c r="A12" s="11" t="s">
        <v>23</v>
      </c>
      <c r="B12" s="11" t="s">
        <v>24</v>
      </c>
      <c r="C12" s="16">
        <v>175000000</v>
      </c>
      <c r="D12" s="12">
        <v>334166825</v>
      </c>
      <c r="E12" s="11">
        <v>7.5</v>
      </c>
      <c r="F12" s="11">
        <v>2017</v>
      </c>
      <c r="H12" s="11" t="s">
        <v>23</v>
      </c>
      <c r="I12" s="11" t="s">
        <v>24</v>
      </c>
      <c r="J12" s="12">
        <v>175000000</v>
      </c>
      <c r="K12" s="16">
        <v>334166825</v>
      </c>
      <c r="L12" s="11">
        <v>7.5</v>
      </c>
      <c r="M12" s="11">
        <v>2017</v>
      </c>
      <c r="O12" s="11" t="s">
        <v>5</v>
      </c>
      <c r="P12" s="11" t="s">
        <v>5</v>
      </c>
      <c r="Q12" s="12">
        <v>140000000</v>
      </c>
      <c r="R12" s="24">
        <v>318298180</v>
      </c>
      <c r="S12" s="28">
        <v>7.9</v>
      </c>
      <c r="T12" s="11">
        <v>2008</v>
      </c>
      <c r="V12" s="11" t="s">
        <v>20</v>
      </c>
      <c r="W12" s="11" t="s">
        <v>11</v>
      </c>
      <c r="X12" s="12">
        <v>250000000</v>
      </c>
      <c r="Y12" s="24">
        <v>408080554</v>
      </c>
      <c r="Z12" s="31">
        <v>7.8</v>
      </c>
      <c r="AA12" s="11">
        <v>2016</v>
      </c>
      <c r="AB12" s="28">
        <f>Y12-X12</f>
        <v>158080554</v>
      </c>
      <c r="AD12" s="11" t="s">
        <v>18</v>
      </c>
      <c r="AE12" s="11" t="s">
        <v>5</v>
      </c>
      <c r="AF12" s="11">
        <v>250000000</v>
      </c>
      <c r="AG12" s="11">
        <v>429113729</v>
      </c>
      <c r="AH12" s="11">
        <v>7.4</v>
      </c>
      <c r="AI12" s="11">
        <v>2015</v>
      </c>
      <c r="AJ12" s="11">
        <f>AG12-AF12</f>
        <v>179113729</v>
      </c>
      <c r="AK12" s="35">
        <f>AJ12/AG12</f>
        <v>0.41740386497864768</v>
      </c>
    </row>
    <row r="13" spans="1:37" s="11" customFormat="1" x14ac:dyDescent="0.2">
      <c r="A13" s="11" t="s">
        <v>14</v>
      </c>
      <c r="B13" s="11" t="s">
        <v>9</v>
      </c>
      <c r="C13" s="16">
        <v>170000000</v>
      </c>
      <c r="D13" s="12">
        <v>206360018</v>
      </c>
      <c r="E13" s="11">
        <v>7</v>
      </c>
      <c r="F13" s="11">
        <v>2013</v>
      </c>
      <c r="H13" s="11" t="s">
        <v>18</v>
      </c>
      <c r="I13" s="11" t="s">
        <v>5</v>
      </c>
      <c r="J13" s="12">
        <v>250000000</v>
      </c>
      <c r="K13" s="16">
        <v>429113729</v>
      </c>
      <c r="L13" s="11">
        <v>7.4</v>
      </c>
      <c r="M13" s="11">
        <v>2015</v>
      </c>
      <c r="O13" s="11" t="s">
        <v>25</v>
      </c>
      <c r="P13" s="11" t="s">
        <v>9</v>
      </c>
      <c r="Q13" s="12">
        <v>180000000</v>
      </c>
      <c r="R13" s="24">
        <v>314971245</v>
      </c>
      <c r="S13" s="28">
        <v>7.9</v>
      </c>
      <c r="T13" s="11">
        <v>2017</v>
      </c>
      <c r="V13" s="11" t="s">
        <v>25</v>
      </c>
      <c r="W13" s="11" t="s">
        <v>9</v>
      </c>
      <c r="X13" s="12">
        <v>180000000</v>
      </c>
      <c r="Y13" s="24">
        <v>314971245</v>
      </c>
      <c r="Z13" s="31">
        <v>7.9</v>
      </c>
      <c r="AA13" s="11">
        <v>2017</v>
      </c>
      <c r="AB13" s="28">
        <f>Y13-X13</f>
        <v>134971245</v>
      </c>
      <c r="AD13" s="11" t="s">
        <v>20</v>
      </c>
      <c r="AE13" s="11" t="s">
        <v>11</v>
      </c>
      <c r="AF13" s="11">
        <v>250000000</v>
      </c>
      <c r="AG13" s="11">
        <v>408080554</v>
      </c>
      <c r="AH13" s="11">
        <v>7.8</v>
      </c>
      <c r="AI13" s="11">
        <v>2016</v>
      </c>
      <c r="AJ13" s="11">
        <f>AG13-AF13</f>
        <v>158080554</v>
      </c>
      <c r="AK13" s="35">
        <f>AJ13/AG13</f>
        <v>0.38737585618941306</v>
      </c>
    </row>
    <row r="14" spans="1:37" s="11" customFormat="1" x14ac:dyDescent="0.2">
      <c r="A14" s="11" t="s">
        <v>15</v>
      </c>
      <c r="B14" s="11" t="s">
        <v>11</v>
      </c>
      <c r="C14" s="16">
        <v>170000000</v>
      </c>
      <c r="D14" s="12">
        <v>228636083</v>
      </c>
      <c r="E14" s="11">
        <v>7.8</v>
      </c>
      <c r="F14" s="11">
        <v>2014</v>
      </c>
      <c r="H14" s="11" t="s">
        <v>19</v>
      </c>
      <c r="I14" s="11" t="s">
        <v>19</v>
      </c>
      <c r="J14" s="12">
        <v>130000000</v>
      </c>
      <c r="K14" s="16">
        <v>138002223</v>
      </c>
      <c r="L14" s="11">
        <v>7.3</v>
      </c>
      <c r="M14" s="11">
        <v>2015</v>
      </c>
      <c r="O14" s="11" t="s">
        <v>8</v>
      </c>
      <c r="P14" s="11" t="s">
        <v>5</v>
      </c>
      <c r="Q14" s="12">
        <v>200000000</v>
      </c>
      <c r="R14" s="24">
        <v>312057433</v>
      </c>
      <c r="S14" s="28">
        <v>7</v>
      </c>
      <c r="T14" s="11">
        <v>2010</v>
      </c>
      <c r="V14" s="11" t="s">
        <v>8</v>
      </c>
      <c r="W14" s="11" t="s">
        <v>5</v>
      </c>
      <c r="X14" s="12">
        <v>200000000</v>
      </c>
      <c r="Y14" s="24">
        <v>312057433</v>
      </c>
      <c r="Z14" s="31">
        <v>7</v>
      </c>
      <c r="AA14" s="11">
        <v>2010</v>
      </c>
      <c r="AB14" s="28">
        <f>Y14-X14</f>
        <v>112057433</v>
      </c>
      <c r="AD14" s="11" t="s">
        <v>16</v>
      </c>
      <c r="AE14" s="11" t="s">
        <v>17</v>
      </c>
      <c r="AF14" s="11">
        <v>170000000</v>
      </c>
      <c r="AG14" s="11">
        <v>270592504</v>
      </c>
      <c r="AH14" s="11">
        <v>8.1</v>
      </c>
      <c r="AI14" s="11">
        <v>2014</v>
      </c>
      <c r="AJ14" s="11">
        <f>AG14-AF14</f>
        <v>100592504</v>
      </c>
      <c r="AK14" s="35">
        <f>AJ14/AG14</f>
        <v>0.37174904150338178</v>
      </c>
    </row>
    <row r="15" spans="1:37" s="11" customFormat="1" x14ac:dyDescent="0.2">
      <c r="A15" s="11" t="s">
        <v>16</v>
      </c>
      <c r="B15" s="11" t="s">
        <v>17</v>
      </c>
      <c r="C15" s="16">
        <v>170000000</v>
      </c>
      <c r="D15" s="12">
        <v>270592504</v>
      </c>
      <c r="E15" s="11">
        <v>8.1</v>
      </c>
      <c r="F15" s="11">
        <v>2014</v>
      </c>
      <c r="H15" s="11" t="s">
        <v>26</v>
      </c>
      <c r="I15" s="11" t="s">
        <v>26</v>
      </c>
      <c r="J15" s="12">
        <v>200000000</v>
      </c>
      <c r="K15" s="16">
        <v>501105037</v>
      </c>
      <c r="L15" s="11">
        <v>7.3</v>
      </c>
      <c r="M15" s="11">
        <v>2018</v>
      </c>
      <c r="O15" s="11" t="s">
        <v>16</v>
      </c>
      <c r="P15" s="11" t="s">
        <v>17</v>
      </c>
      <c r="Q15" s="12">
        <v>170000000</v>
      </c>
      <c r="R15" s="24">
        <v>270592504</v>
      </c>
      <c r="S15" s="28">
        <v>8.1</v>
      </c>
      <c r="T15" s="11">
        <v>2014</v>
      </c>
      <c r="V15" s="11" t="s">
        <v>16</v>
      </c>
      <c r="W15" s="11" t="s">
        <v>17</v>
      </c>
      <c r="X15" s="12">
        <v>170000000</v>
      </c>
      <c r="Y15" s="24">
        <v>270592504</v>
      </c>
      <c r="Z15" s="31">
        <v>8.1</v>
      </c>
      <c r="AA15" s="11">
        <v>2014</v>
      </c>
      <c r="AB15" s="28">
        <f>Y15-X15</f>
        <v>100592504</v>
      </c>
      <c r="AD15" s="11" t="s">
        <v>8</v>
      </c>
      <c r="AE15" s="11" t="s">
        <v>5</v>
      </c>
      <c r="AF15" s="11">
        <v>200000000</v>
      </c>
      <c r="AG15" s="11">
        <v>312057433</v>
      </c>
      <c r="AH15" s="11">
        <v>7</v>
      </c>
      <c r="AI15" s="11">
        <v>2010</v>
      </c>
      <c r="AJ15" s="11">
        <f>AG15-AF15</f>
        <v>112057433</v>
      </c>
      <c r="AK15" s="35">
        <f>AJ15/AG15</f>
        <v>0.35909233733906926</v>
      </c>
    </row>
    <row r="16" spans="1:37" s="11" customFormat="1" x14ac:dyDescent="0.2">
      <c r="A16" s="11" t="s">
        <v>21</v>
      </c>
      <c r="B16" s="11" t="s">
        <v>21</v>
      </c>
      <c r="C16" s="16">
        <v>165000000</v>
      </c>
      <c r="D16" s="12">
        <v>232630718</v>
      </c>
      <c r="E16" s="11">
        <v>7.5</v>
      </c>
      <c r="F16" s="11">
        <v>2016</v>
      </c>
      <c r="H16" s="11" t="s">
        <v>13</v>
      </c>
      <c r="I16" s="11" t="s">
        <v>5</v>
      </c>
      <c r="J16" s="12">
        <v>200000000</v>
      </c>
      <c r="K16" s="16">
        <v>408992272</v>
      </c>
      <c r="L16" s="11">
        <v>7.2</v>
      </c>
      <c r="M16" s="11">
        <v>2013</v>
      </c>
      <c r="O16" s="11" t="s">
        <v>21</v>
      </c>
      <c r="P16" s="11" t="s">
        <v>21</v>
      </c>
      <c r="Q16" s="12">
        <v>165000000</v>
      </c>
      <c r="R16" s="24">
        <v>232630718</v>
      </c>
      <c r="S16" s="28">
        <v>7.5</v>
      </c>
      <c r="T16" s="11">
        <v>2016</v>
      </c>
      <c r="V16" s="11" t="s">
        <v>21</v>
      </c>
      <c r="W16" s="11" t="s">
        <v>21</v>
      </c>
      <c r="X16" s="12">
        <v>165000000</v>
      </c>
      <c r="Y16" s="24">
        <v>232630718</v>
      </c>
      <c r="Z16" s="31">
        <v>7.5</v>
      </c>
      <c r="AA16" s="11">
        <v>2016</v>
      </c>
      <c r="AB16" s="28">
        <f>Y16-X16</f>
        <v>67630718</v>
      </c>
      <c r="AD16" s="11" t="s">
        <v>21</v>
      </c>
      <c r="AE16" s="11" t="s">
        <v>21</v>
      </c>
      <c r="AF16" s="11">
        <v>165000000</v>
      </c>
      <c r="AG16" s="11">
        <v>232630718</v>
      </c>
      <c r="AH16" s="11">
        <v>7.5</v>
      </c>
      <c r="AI16" s="11">
        <v>2016</v>
      </c>
      <c r="AJ16" s="11">
        <f>AG16-AF16</f>
        <v>67630718</v>
      </c>
      <c r="AK16" s="35">
        <f>AJ16/AG16</f>
        <v>0.29072135692759199</v>
      </c>
    </row>
    <row r="17" spans="1:37" s="11" customFormat="1" x14ac:dyDescent="0.2">
      <c r="A17" s="11" t="s">
        <v>28</v>
      </c>
      <c r="B17" s="11" t="s">
        <v>19</v>
      </c>
      <c r="C17" s="16">
        <v>162000000</v>
      </c>
      <c r="D17" s="13">
        <v>216648740</v>
      </c>
      <c r="E17" s="11">
        <v>7.1</v>
      </c>
      <c r="F17" s="11">
        <v>2018</v>
      </c>
      <c r="H17" s="11" t="s">
        <v>28</v>
      </c>
      <c r="I17" s="11" t="s">
        <v>19</v>
      </c>
      <c r="J17" s="12">
        <v>162000000</v>
      </c>
      <c r="K17" s="17">
        <v>216648740</v>
      </c>
      <c r="L17" s="11">
        <v>7.1</v>
      </c>
      <c r="M17" s="11">
        <v>2018</v>
      </c>
      <c r="O17" s="11" t="s">
        <v>15</v>
      </c>
      <c r="P17" s="11" t="s">
        <v>11</v>
      </c>
      <c r="Q17" s="12">
        <v>170000000</v>
      </c>
      <c r="R17" s="24">
        <v>228636083</v>
      </c>
      <c r="S17" s="28">
        <v>7.8</v>
      </c>
      <c r="T17" s="11">
        <v>2014</v>
      </c>
      <c r="V17" s="11" t="s">
        <v>15</v>
      </c>
      <c r="W17" s="11" t="s">
        <v>11</v>
      </c>
      <c r="X17" s="12">
        <v>170000000</v>
      </c>
      <c r="Y17" s="24">
        <v>228636083</v>
      </c>
      <c r="Z17" s="31">
        <v>7.8</v>
      </c>
      <c r="AA17" s="11">
        <v>2014</v>
      </c>
      <c r="AB17" s="28">
        <f>Y17-X17</f>
        <v>58636083</v>
      </c>
      <c r="AD17" s="11" t="s">
        <v>15</v>
      </c>
      <c r="AE17" s="11" t="s">
        <v>11</v>
      </c>
      <c r="AF17" s="11">
        <v>170000000</v>
      </c>
      <c r="AG17" s="11">
        <v>228636083</v>
      </c>
      <c r="AH17" s="11">
        <v>7.8</v>
      </c>
      <c r="AI17" s="11">
        <v>2014</v>
      </c>
      <c r="AJ17" s="11">
        <f>AG17-AF17</f>
        <v>58636083</v>
      </c>
      <c r="AK17" s="35">
        <f>AJ17/AG17</f>
        <v>0.25646031995745833</v>
      </c>
    </row>
    <row r="18" spans="1:37" s="11" customFormat="1" x14ac:dyDescent="0.2">
      <c r="A18" s="11" t="s">
        <v>29</v>
      </c>
      <c r="B18" s="11" t="s">
        <v>29</v>
      </c>
      <c r="C18" s="16">
        <v>152000000</v>
      </c>
      <c r="D18" s="13">
        <v>333305815</v>
      </c>
      <c r="E18" s="11">
        <v>6.9</v>
      </c>
      <c r="F18" s="11">
        <v>2019</v>
      </c>
      <c r="H18" s="11" t="s">
        <v>8</v>
      </c>
      <c r="I18" s="11" t="s">
        <v>5</v>
      </c>
      <c r="J18" s="12">
        <v>200000000</v>
      </c>
      <c r="K18" s="16">
        <v>312057433</v>
      </c>
      <c r="L18" s="11">
        <v>7</v>
      </c>
      <c r="M18" s="11">
        <v>2010</v>
      </c>
      <c r="O18" s="11" t="s">
        <v>28</v>
      </c>
      <c r="P18" s="11" t="s">
        <v>19</v>
      </c>
      <c r="Q18" s="12">
        <v>162000000</v>
      </c>
      <c r="R18" s="24">
        <v>216648740</v>
      </c>
      <c r="S18" s="28">
        <v>7.1</v>
      </c>
      <c r="T18" s="11">
        <v>2018</v>
      </c>
      <c r="V18" s="11" t="s">
        <v>28</v>
      </c>
      <c r="W18" s="11" t="s">
        <v>19</v>
      </c>
      <c r="X18" s="12">
        <v>162000000</v>
      </c>
      <c r="Y18" s="24">
        <v>216648740</v>
      </c>
      <c r="Z18" s="31">
        <v>7.1</v>
      </c>
      <c r="AA18" s="11">
        <v>2018</v>
      </c>
      <c r="AB18" s="28">
        <f>Y18-X18</f>
        <v>54648740</v>
      </c>
      <c r="AD18" s="11" t="s">
        <v>28</v>
      </c>
      <c r="AE18" s="11" t="s">
        <v>19</v>
      </c>
      <c r="AF18" s="11">
        <v>162000000</v>
      </c>
      <c r="AG18" s="11">
        <v>216648740</v>
      </c>
      <c r="AH18" s="11">
        <v>7.1</v>
      </c>
      <c r="AI18" s="11">
        <v>2018</v>
      </c>
      <c r="AJ18" s="11">
        <f>AG18-AF18</f>
        <v>54648740</v>
      </c>
      <c r="AK18" s="35">
        <f>AJ18/AG18</f>
        <v>0.25224582427758407</v>
      </c>
    </row>
    <row r="19" spans="1:37" s="11" customFormat="1" x14ac:dyDescent="0.2">
      <c r="A19" s="11" t="s">
        <v>6</v>
      </c>
      <c r="B19" s="11" t="s">
        <v>7</v>
      </c>
      <c r="C19" s="16">
        <v>150000000</v>
      </c>
      <c r="D19" s="12">
        <v>134518390</v>
      </c>
      <c r="E19" s="11">
        <v>6.8</v>
      </c>
      <c r="F19" s="11">
        <v>2008</v>
      </c>
      <c r="H19" s="11" t="s">
        <v>9</v>
      </c>
      <c r="I19" s="11" t="s">
        <v>9</v>
      </c>
      <c r="J19" s="12">
        <v>150000000</v>
      </c>
      <c r="K19" s="16">
        <v>181015141</v>
      </c>
      <c r="L19" s="11">
        <v>7</v>
      </c>
      <c r="M19" s="11">
        <v>2011</v>
      </c>
      <c r="O19" s="11" t="s">
        <v>14</v>
      </c>
      <c r="P19" s="11" t="s">
        <v>9</v>
      </c>
      <c r="Q19" s="12">
        <v>170000000</v>
      </c>
      <c r="R19" s="24">
        <v>206360018</v>
      </c>
      <c r="S19" s="28">
        <v>7</v>
      </c>
      <c r="T19" s="11">
        <v>2013</v>
      </c>
      <c r="V19" s="11" t="s">
        <v>10</v>
      </c>
      <c r="W19" s="11" t="s">
        <v>11</v>
      </c>
      <c r="X19" s="12">
        <v>140000000</v>
      </c>
      <c r="Y19" s="24">
        <v>176636816</v>
      </c>
      <c r="Z19" s="31">
        <v>6.9</v>
      </c>
      <c r="AA19" s="11">
        <v>2011</v>
      </c>
      <c r="AB19" s="28">
        <f>Y19-X19</f>
        <v>36636816</v>
      </c>
      <c r="AD19" s="11" t="s">
        <v>10</v>
      </c>
      <c r="AE19" s="11" t="s">
        <v>11</v>
      </c>
      <c r="AF19" s="11">
        <v>140000000</v>
      </c>
      <c r="AG19" s="11">
        <v>176636816</v>
      </c>
      <c r="AH19" s="11">
        <v>6.9</v>
      </c>
      <c r="AI19" s="11">
        <v>2011</v>
      </c>
      <c r="AJ19" s="11">
        <f>AG19-AF19</f>
        <v>36636816</v>
      </c>
      <c r="AK19" s="35">
        <f>AJ19/AG19</f>
        <v>0.2074132495685384</v>
      </c>
    </row>
    <row r="20" spans="1:37" s="11" customFormat="1" x14ac:dyDescent="0.2">
      <c r="A20" s="11" t="s">
        <v>9</v>
      </c>
      <c r="B20" s="11" t="s">
        <v>9</v>
      </c>
      <c r="C20" s="16">
        <v>150000000</v>
      </c>
      <c r="D20" s="12">
        <v>181015141</v>
      </c>
      <c r="E20" s="11">
        <v>7</v>
      </c>
      <c r="F20" s="11">
        <v>2011</v>
      </c>
      <c r="H20" s="11" t="s">
        <v>14</v>
      </c>
      <c r="I20" s="11" t="s">
        <v>9</v>
      </c>
      <c r="J20" s="12">
        <v>170000000</v>
      </c>
      <c r="K20" s="16">
        <v>206360018</v>
      </c>
      <c r="L20" s="11">
        <v>7</v>
      </c>
      <c r="M20" s="11">
        <v>2013</v>
      </c>
      <c r="O20" s="11" t="s">
        <v>9</v>
      </c>
      <c r="P20" s="11" t="s">
        <v>9</v>
      </c>
      <c r="Q20" s="12">
        <v>150000000</v>
      </c>
      <c r="R20" s="24">
        <v>181015141</v>
      </c>
      <c r="S20" s="28">
        <v>7</v>
      </c>
      <c r="T20" s="11">
        <v>2011</v>
      </c>
      <c r="V20" s="11" t="s">
        <v>14</v>
      </c>
      <c r="W20" s="11" t="s">
        <v>9</v>
      </c>
      <c r="X20" s="12">
        <v>170000000</v>
      </c>
      <c r="Y20" s="24">
        <v>206360018</v>
      </c>
      <c r="Z20" s="31">
        <v>7</v>
      </c>
      <c r="AA20" s="11">
        <v>2013</v>
      </c>
      <c r="AB20" s="28">
        <f>Y20-X20</f>
        <v>36360018</v>
      </c>
      <c r="AD20" s="11" t="s">
        <v>14</v>
      </c>
      <c r="AE20" s="11" t="s">
        <v>9</v>
      </c>
      <c r="AF20" s="11">
        <v>170000000</v>
      </c>
      <c r="AG20" s="11">
        <v>206360018</v>
      </c>
      <c r="AH20" s="11">
        <v>7</v>
      </c>
      <c r="AI20" s="11">
        <v>2013</v>
      </c>
      <c r="AJ20" s="11">
        <f>AG20-AF20</f>
        <v>36360018</v>
      </c>
      <c r="AK20" s="35">
        <f>AJ20/AG20</f>
        <v>0.17619700924817713</v>
      </c>
    </row>
    <row r="21" spans="1:37" s="11" customFormat="1" x14ac:dyDescent="0.2">
      <c r="A21" s="11" t="s">
        <v>5</v>
      </c>
      <c r="B21" s="11" t="s">
        <v>5</v>
      </c>
      <c r="C21" s="16">
        <v>140000000</v>
      </c>
      <c r="D21" s="12">
        <v>318298180</v>
      </c>
      <c r="E21" s="11">
        <v>7.9</v>
      </c>
      <c r="F21" s="11">
        <v>2008</v>
      </c>
      <c r="H21" s="11" t="s">
        <v>10</v>
      </c>
      <c r="I21" s="11" t="s">
        <v>11</v>
      </c>
      <c r="J21" s="12">
        <v>140000000</v>
      </c>
      <c r="K21" s="16">
        <v>176636816</v>
      </c>
      <c r="L21" s="11">
        <v>6.9</v>
      </c>
      <c r="M21" s="11">
        <v>2011</v>
      </c>
      <c r="O21" s="11" t="s">
        <v>10</v>
      </c>
      <c r="P21" s="11" t="s">
        <v>11</v>
      </c>
      <c r="Q21" s="12">
        <v>140000000</v>
      </c>
      <c r="R21" s="24">
        <v>176636816</v>
      </c>
      <c r="S21" s="28">
        <v>6.9</v>
      </c>
      <c r="T21" s="11">
        <v>2011</v>
      </c>
      <c r="V21" s="11" t="s">
        <v>9</v>
      </c>
      <c r="W21" s="11" t="s">
        <v>9</v>
      </c>
      <c r="X21" s="12">
        <v>150000000</v>
      </c>
      <c r="Y21" s="24">
        <v>181015141</v>
      </c>
      <c r="Z21" s="31">
        <v>7</v>
      </c>
      <c r="AA21" s="11">
        <v>2011</v>
      </c>
      <c r="AB21" s="28">
        <f>Y21-X21</f>
        <v>31015141</v>
      </c>
      <c r="AD21" s="11" t="s">
        <v>9</v>
      </c>
      <c r="AE21" s="11" t="s">
        <v>9</v>
      </c>
      <c r="AF21" s="11">
        <v>150000000</v>
      </c>
      <c r="AG21" s="11">
        <v>181015141</v>
      </c>
      <c r="AH21" s="11">
        <v>7</v>
      </c>
      <c r="AI21" s="11">
        <v>2011</v>
      </c>
      <c r="AJ21" s="11">
        <f>AG21-AF21</f>
        <v>31015141</v>
      </c>
      <c r="AK21" s="35">
        <f>AJ21/AG21</f>
        <v>0.17134003724031019</v>
      </c>
    </row>
    <row r="22" spans="1:37" s="11" customFormat="1" x14ac:dyDescent="0.2">
      <c r="A22" s="11" t="s">
        <v>10</v>
      </c>
      <c r="B22" s="11" t="s">
        <v>11</v>
      </c>
      <c r="C22" s="16">
        <v>140000000</v>
      </c>
      <c r="D22" s="12">
        <v>176636816</v>
      </c>
      <c r="E22" s="11">
        <v>6.9</v>
      </c>
      <c r="F22" s="11">
        <v>2011</v>
      </c>
      <c r="H22" s="11" t="s">
        <v>29</v>
      </c>
      <c r="I22" s="11" t="s">
        <v>29</v>
      </c>
      <c r="J22" s="12">
        <v>152000000</v>
      </c>
      <c r="K22" s="17">
        <v>333305815</v>
      </c>
      <c r="L22" s="11">
        <v>6.9</v>
      </c>
      <c r="M22" s="11">
        <v>2019</v>
      </c>
      <c r="O22" s="11" t="s">
        <v>19</v>
      </c>
      <c r="P22" s="11" t="s">
        <v>19</v>
      </c>
      <c r="Q22" s="12">
        <v>130000000</v>
      </c>
      <c r="R22" s="24">
        <v>138002223</v>
      </c>
      <c r="S22" s="28">
        <v>7.3</v>
      </c>
      <c r="T22" s="11">
        <v>2015</v>
      </c>
      <c r="V22" s="11" t="s">
        <v>19</v>
      </c>
      <c r="W22" s="11" t="s">
        <v>19</v>
      </c>
      <c r="X22" s="12">
        <v>130000000</v>
      </c>
      <c r="Y22" s="24">
        <v>138002223</v>
      </c>
      <c r="Z22" s="31">
        <v>7.3</v>
      </c>
      <c r="AA22" s="11">
        <v>2015</v>
      </c>
      <c r="AB22" s="28">
        <f>Y22-X22</f>
        <v>8002223</v>
      </c>
      <c r="AD22" s="11" t="s">
        <v>19</v>
      </c>
      <c r="AE22" s="11" t="s">
        <v>19</v>
      </c>
      <c r="AF22" s="11">
        <v>130000000</v>
      </c>
      <c r="AG22" s="11">
        <v>138002223</v>
      </c>
      <c r="AH22" s="11">
        <v>7.3</v>
      </c>
      <c r="AI22" s="11">
        <v>2015</v>
      </c>
      <c r="AJ22" s="11">
        <f>AG22-AF22</f>
        <v>8002223</v>
      </c>
      <c r="AK22" s="35">
        <f>AJ22/AG22</f>
        <v>5.7986189106533449E-2</v>
      </c>
    </row>
    <row r="23" spans="1:37" s="11" customFormat="1" x14ac:dyDescent="0.2">
      <c r="A23" s="11" t="s">
        <v>19</v>
      </c>
      <c r="B23" s="11" t="s">
        <v>19</v>
      </c>
      <c r="C23" s="16">
        <v>130000000</v>
      </c>
      <c r="D23" s="12">
        <v>138002223</v>
      </c>
      <c r="E23" s="11">
        <v>7.3</v>
      </c>
      <c r="F23" s="11">
        <v>2015</v>
      </c>
      <c r="H23" s="11" t="s">
        <v>6</v>
      </c>
      <c r="I23" s="11" t="s">
        <v>7</v>
      </c>
      <c r="J23" s="12">
        <v>150000000</v>
      </c>
      <c r="K23" s="16">
        <v>134518390</v>
      </c>
      <c r="L23" s="11">
        <v>6.8</v>
      </c>
      <c r="M23" s="11">
        <v>2008</v>
      </c>
      <c r="O23" s="11" t="s">
        <v>6</v>
      </c>
      <c r="P23" s="11" t="s">
        <v>7</v>
      </c>
      <c r="Q23" s="12">
        <v>150000000</v>
      </c>
      <c r="R23" s="24">
        <v>134518390</v>
      </c>
      <c r="S23" s="28">
        <v>6.8</v>
      </c>
      <c r="T23" s="11">
        <v>2008</v>
      </c>
      <c r="V23" s="11" t="s">
        <v>6</v>
      </c>
      <c r="W23" s="11" t="s">
        <v>7</v>
      </c>
      <c r="X23" s="12">
        <v>150000000</v>
      </c>
      <c r="Y23" s="24">
        <v>134518390</v>
      </c>
      <c r="Z23" s="31">
        <v>6.8</v>
      </c>
      <c r="AA23" s="11">
        <v>2008</v>
      </c>
      <c r="AB23" s="28">
        <f>Y23-X23</f>
        <v>-15481610</v>
      </c>
      <c r="AD23" s="11" t="s">
        <v>6</v>
      </c>
      <c r="AE23" s="11" t="s">
        <v>7</v>
      </c>
      <c r="AF23" s="11">
        <v>150000000</v>
      </c>
      <c r="AG23" s="11">
        <v>134518390</v>
      </c>
      <c r="AH23" s="11">
        <v>6.8</v>
      </c>
      <c r="AI23" s="11">
        <v>2008</v>
      </c>
      <c r="AJ23" s="11">
        <f>AG23-AF23</f>
        <v>-15481610</v>
      </c>
      <c r="AK23" s="35">
        <f>AJ23/AG23</f>
        <v>-0.11508917107913647</v>
      </c>
    </row>
  </sheetData>
  <sortState ref="AD3:AK23">
    <sortCondition descending="1" ref="AK3:AK23"/>
  </sortState>
  <mergeCells count="5">
    <mergeCell ref="A1:F1"/>
    <mergeCell ref="H1:M1"/>
    <mergeCell ref="O1:T1"/>
    <mergeCell ref="V1:AB1"/>
    <mergeCell ref="AD1:A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9" sqref="B9"/>
    </sheetView>
  </sheetViews>
  <sheetFormatPr baseColWidth="10" defaultRowHeight="16" x14ac:dyDescent="0.2"/>
  <cols>
    <col min="1" max="1" width="17.83203125" bestFit="1" customWidth="1"/>
    <col min="2" max="2" width="21" customWidth="1"/>
  </cols>
  <sheetData>
    <row r="1" spans="1:2" x14ac:dyDescent="0.2">
      <c r="A1" s="3" t="s">
        <v>31</v>
      </c>
      <c r="B1" s="5">
        <f>AVERAGE(marvel_df2.csv!C2:C22)</f>
        <v>185476190.47619048</v>
      </c>
    </row>
    <row r="2" spans="1:2" x14ac:dyDescent="0.2">
      <c r="A2" s="3" t="s">
        <v>32</v>
      </c>
      <c r="B2" s="5">
        <f>SUM(marvel_df2.csv!C2:C22)</f>
        <v>3895000000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marvel_df2.csv</vt:lpstr>
      <vt:lpstr>Top 5</vt:lpstr>
      <vt:lpstr>Budget 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2019-04-01T05:18:49Z</dcterms:created>
  <dcterms:modified xsi:type="dcterms:W3CDTF">2019-04-01T05:19:49Z</dcterms:modified>
</cp:coreProperties>
</file>